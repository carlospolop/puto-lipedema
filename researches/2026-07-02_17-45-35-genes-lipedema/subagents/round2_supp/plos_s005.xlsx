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_o\Downloads\Supplementary files\"/>
    </mc:Choice>
  </mc:AlternateContent>
  <xr:revisionPtr revIDLastSave="0" documentId="13_ncr:1_{A4D59177-D622-4B96-82CD-D6216C27F8EA}" xr6:coauthVersionLast="47" xr6:coauthVersionMax="47" xr10:uidLastSave="{00000000-0000-0000-0000-000000000000}"/>
  <bookViews>
    <workbookView xWindow="465" yWindow="2340" windowWidth="28335" windowHeight="8025" xr2:uid="{64CCC8DD-B10C-4272-ADAF-4B630AA9A615}"/>
  </bookViews>
  <sheets>
    <sheet name="S4 Table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8" i="10" l="1"/>
  <c r="B27" i="10"/>
  <c r="B26" i="10"/>
  <c r="B24" i="10"/>
  <c r="B16" i="10"/>
  <c r="B14" i="10"/>
  <c r="B10" i="10"/>
  <c r="B6" i="10"/>
</calcChain>
</file>

<file path=xl/sharedStrings.xml><?xml version="1.0" encoding="utf-8"?>
<sst xmlns="http://schemas.openxmlformats.org/spreadsheetml/2006/main" count="85" uniqueCount="37">
  <si>
    <t>Family history</t>
  </si>
  <si>
    <t>Y</t>
  </si>
  <si>
    <t>White British</t>
  </si>
  <si>
    <t>N</t>
  </si>
  <si>
    <t>.</t>
  </si>
  <si>
    <t>White other</t>
  </si>
  <si>
    <t>Genomics England ID</t>
  </si>
  <si>
    <t>Age at recruitment (yrs)</t>
  </si>
  <si>
    <t>Ethnic Category</t>
  </si>
  <si>
    <t>GEL1</t>
  </si>
  <si>
    <t>GEL2</t>
  </si>
  <si>
    <t>GEL3</t>
  </si>
  <si>
    <t>GEL4</t>
  </si>
  <si>
    <t>GEL5</t>
  </si>
  <si>
    <t>GEL6</t>
  </si>
  <si>
    <t>GEL7</t>
  </si>
  <si>
    <t>GEL8</t>
  </si>
  <si>
    <t>GEL9</t>
  </si>
  <si>
    <t>GEL10</t>
  </si>
  <si>
    <t>GEL11</t>
  </si>
  <si>
    <t>GEL12</t>
  </si>
  <si>
    <t>GEL13</t>
  </si>
  <si>
    <t>GEL14</t>
  </si>
  <si>
    <t>GEL15</t>
  </si>
  <si>
    <t>GEL16</t>
  </si>
  <si>
    <t>GEL17</t>
  </si>
  <si>
    <t>GEL18</t>
  </si>
  <si>
    <t>GEL19</t>
  </si>
  <si>
    <t>GEL20</t>
  </si>
  <si>
    <t>GEL21</t>
  </si>
  <si>
    <t>GEL22</t>
  </si>
  <si>
    <t>GEL23</t>
  </si>
  <si>
    <t>GEL24</t>
  </si>
  <si>
    <t>GEL25</t>
  </si>
  <si>
    <t>GEL26</t>
  </si>
  <si>
    <t>White Irish</t>
  </si>
  <si>
    <t>GEL27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</si>
</sst>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Calibri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0"/>
  </cellStyleXfs>
  <cellXfs count="11">
    <xf numFmtId="0" fontId="0" fillId="0" borderId="0" xfId="0"/>
    <xf numFmtId="0" fontId="6" fillId="0" borderId="0" xfId="0" applyFont="1"/>
    <xf numFmtId="1" fontId="7" fillId="0" borderId="1" xfId="1" applyNumberFormat="1" applyFont="1" applyFill="1" applyBorder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7" fillId="0" borderId="1" xfId="2" applyFont="1" applyFill="1" applyBorder="1" applyAlignment="1">
      <alignment horizontal="center"/>
    </xf>
    <xf numFmtId="0" fontId="5" fillId="0" borderId="0" xfId="0" applyFont="1" applyAlignment="1">
      <alignment horizontal="left" wrapText="1"/>
    </xf>
    <xf numFmtId="1" fontId="7" fillId="0" borderId="1" xfId="3" applyNumberFormat="1" applyFont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0" xfId="3" applyNumberFormat="1" applyFont="1" applyAlignment="1">
      <alignment horizontal="left"/>
    </xf>
    <xf numFmtId="0" fontId="3" fillId="4" borderId="1" xfId="3" applyFont="1" applyFill="1" applyBorder="1" applyAlignment="1">
      <alignment horizontal="center" wrapText="1"/>
    </xf>
  </cellXfs>
  <cellStyles count="4">
    <cellStyle name="Bad" xfId="2" builtinId="27"/>
    <cellStyle name="Good" xfId="1" builtinId="26"/>
    <cellStyle name="Normal" xfId="0" builtinId="0"/>
    <cellStyle name="Normal_Sheet1" xfId="3" xr:uid="{CBC5F74F-B62C-4835-8CF6-1A1A119E4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5A3D-A4BD-4FBF-B139-E3B896C12F06}">
  <dimension ref="A1:D31"/>
  <sheetViews>
    <sheetView tabSelected="1" workbookViewId="0">
      <selection activeCell="G14" sqref="G14"/>
    </sheetView>
  </sheetViews>
  <sheetFormatPr defaultColWidth="8.85546875" defaultRowHeight="15" x14ac:dyDescent="0.25"/>
  <cols>
    <col min="1" max="1" width="18.42578125" customWidth="1"/>
    <col min="2" max="2" width="12.28515625" customWidth="1"/>
    <col min="3" max="3" width="14.28515625" customWidth="1"/>
    <col min="4" max="4" width="15.140625" customWidth="1"/>
  </cols>
  <sheetData>
    <row r="1" spans="1:4" s="5" customFormat="1" ht="45" x14ac:dyDescent="0.25">
      <c r="A1" s="10" t="s">
        <v>6</v>
      </c>
      <c r="B1" s="10" t="s">
        <v>7</v>
      </c>
      <c r="C1" s="10" t="s">
        <v>8</v>
      </c>
      <c r="D1" s="10" t="s">
        <v>0</v>
      </c>
    </row>
    <row r="2" spans="1:4" s="1" customFormat="1" x14ac:dyDescent="0.25">
      <c r="A2" s="6" t="s">
        <v>9</v>
      </c>
      <c r="B2" s="6">
        <v>51.0027397260274</v>
      </c>
      <c r="C2" s="7" t="s">
        <v>5</v>
      </c>
      <c r="D2" s="4" t="s">
        <v>3</v>
      </c>
    </row>
    <row r="3" spans="1:4" s="1" customFormat="1" x14ac:dyDescent="0.25">
      <c r="A3" s="6" t="s">
        <v>10</v>
      </c>
      <c r="B3" s="6">
        <v>42.695890410958903</v>
      </c>
      <c r="C3" s="3" t="s">
        <v>2</v>
      </c>
      <c r="D3" s="4" t="s">
        <v>3</v>
      </c>
    </row>
    <row r="4" spans="1:4" s="1" customFormat="1" x14ac:dyDescent="0.25">
      <c r="A4" s="6" t="s">
        <v>11</v>
      </c>
      <c r="B4" s="6">
        <v>60.4</v>
      </c>
      <c r="C4" s="7" t="s">
        <v>5</v>
      </c>
      <c r="D4" s="3" t="s">
        <v>1</v>
      </c>
    </row>
    <row r="5" spans="1:4" s="1" customFormat="1" x14ac:dyDescent="0.25">
      <c r="A5" s="6" t="s">
        <v>12</v>
      </c>
      <c r="B5" s="6">
        <v>48.249315068493154</v>
      </c>
      <c r="C5" s="7" t="s">
        <v>5</v>
      </c>
      <c r="D5" s="3" t="s">
        <v>1</v>
      </c>
    </row>
    <row r="6" spans="1:4" s="1" customFormat="1" x14ac:dyDescent="0.25">
      <c r="A6" s="6" t="s">
        <v>13</v>
      </c>
      <c r="B6" s="8">
        <f>2018-1960</f>
        <v>58</v>
      </c>
      <c r="C6" s="8" t="s">
        <v>2</v>
      </c>
      <c r="D6" s="8" t="s">
        <v>3</v>
      </c>
    </row>
    <row r="7" spans="1:4" s="1" customFormat="1" x14ac:dyDescent="0.25">
      <c r="A7" s="6" t="s">
        <v>14</v>
      </c>
      <c r="B7" s="6">
        <v>65.153424657534245</v>
      </c>
      <c r="C7" s="7" t="s">
        <v>5</v>
      </c>
      <c r="D7" s="3" t="s">
        <v>1</v>
      </c>
    </row>
    <row r="8" spans="1:4" s="1" customFormat="1" x14ac:dyDescent="0.25">
      <c r="A8" s="6" t="s">
        <v>15</v>
      </c>
      <c r="B8" s="2">
        <v>34.80821917808219</v>
      </c>
      <c r="C8" s="3" t="s">
        <v>2</v>
      </c>
      <c r="D8" s="4" t="s">
        <v>3</v>
      </c>
    </row>
    <row r="9" spans="1:4" s="1" customFormat="1" x14ac:dyDescent="0.25">
      <c r="A9" s="6" t="s">
        <v>16</v>
      </c>
      <c r="B9" s="6">
        <v>38.084931506849315</v>
      </c>
      <c r="C9" s="3" t="s">
        <v>2</v>
      </c>
      <c r="D9" s="4" t="s">
        <v>3</v>
      </c>
    </row>
    <row r="10" spans="1:4" s="1" customFormat="1" x14ac:dyDescent="0.25">
      <c r="A10" s="6" t="s">
        <v>17</v>
      </c>
      <c r="B10" s="6">
        <f>2017-1962</f>
        <v>55</v>
      </c>
      <c r="C10" s="7" t="s">
        <v>2</v>
      </c>
      <c r="D10" s="7" t="s">
        <v>4</v>
      </c>
    </row>
    <row r="11" spans="1:4" s="1" customFormat="1" x14ac:dyDescent="0.25">
      <c r="A11" s="6" t="s">
        <v>18</v>
      </c>
      <c r="B11" s="6">
        <v>57.742465753424661</v>
      </c>
      <c r="C11" s="3" t="s">
        <v>2</v>
      </c>
      <c r="D11" s="3" t="s">
        <v>1</v>
      </c>
    </row>
    <row r="12" spans="1:4" s="1" customFormat="1" x14ac:dyDescent="0.25">
      <c r="A12" s="6" t="s">
        <v>19</v>
      </c>
      <c r="B12" s="6">
        <v>41.56986301369863</v>
      </c>
      <c r="C12" s="3" t="s">
        <v>2</v>
      </c>
      <c r="D12" s="4" t="s">
        <v>3</v>
      </c>
    </row>
    <row r="13" spans="1:4" s="1" customFormat="1" x14ac:dyDescent="0.25">
      <c r="A13" s="6" t="s">
        <v>20</v>
      </c>
      <c r="B13" s="6">
        <v>69.419178082191777</v>
      </c>
      <c r="C13" s="3" t="s">
        <v>2</v>
      </c>
      <c r="D13" s="3" t="s">
        <v>1</v>
      </c>
    </row>
    <row r="14" spans="1:4" s="1" customFormat="1" x14ac:dyDescent="0.25">
      <c r="A14" s="6" t="s">
        <v>21</v>
      </c>
      <c r="B14" s="6">
        <f>2017-1955</f>
        <v>62</v>
      </c>
      <c r="C14" s="7" t="s">
        <v>2</v>
      </c>
      <c r="D14" s="7" t="s">
        <v>4</v>
      </c>
    </row>
    <row r="15" spans="1:4" s="1" customFormat="1" x14ac:dyDescent="0.25">
      <c r="A15" s="6" t="s">
        <v>22</v>
      </c>
      <c r="B15" s="2">
        <v>34.317808219178083</v>
      </c>
      <c r="C15" s="3" t="s">
        <v>2</v>
      </c>
      <c r="D15" s="4" t="s">
        <v>3</v>
      </c>
    </row>
    <row r="16" spans="1:4" s="1" customFormat="1" x14ac:dyDescent="0.25">
      <c r="A16" s="6" t="s">
        <v>23</v>
      </c>
      <c r="B16" s="6">
        <f>2017-1981</f>
        <v>36</v>
      </c>
      <c r="C16" s="3" t="s">
        <v>2</v>
      </c>
      <c r="D16" s="4" t="s">
        <v>3</v>
      </c>
    </row>
    <row r="17" spans="1:4" s="1" customFormat="1" x14ac:dyDescent="0.25">
      <c r="A17" s="6" t="s">
        <v>24</v>
      </c>
      <c r="B17" s="6">
        <v>61.824657534246576</v>
      </c>
      <c r="C17" s="3" t="s">
        <v>2</v>
      </c>
      <c r="D17" s="3" t="s">
        <v>1</v>
      </c>
    </row>
    <row r="18" spans="1:4" s="1" customFormat="1" x14ac:dyDescent="0.25">
      <c r="A18" s="6" t="s">
        <v>25</v>
      </c>
      <c r="B18" s="6">
        <v>53.553424657534244</v>
      </c>
      <c r="C18" s="3" t="s">
        <v>2</v>
      </c>
      <c r="D18" s="4" t="s">
        <v>3</v>
      </c>
    </row>
    <row r="19" spans="1:4" s="1" customFormat="1" x14ac:dyDescent="0.25">
      <c r="A19" s="6" t="s">
        <v>26</v>
      </c>
      <c r="B19" s="6">
        <v>47.520547945205479</v>
      </c>
      <c r="C19" s="3" t="s">
        <v>2</v>
      </c>
      <c r="D19" s="4" t="s">
        <v>3</v>
      </c>
    </row>
    <row r="20" spans="1:4" s="1" customFormat="1" x14ac:dyDescent="0.25">
      <c r="A20" s="6" t="s">
        <v>27</v>
      </c>
      <c r="B20" s="6">
        <v>39.347945205479455</v>
      </c>
      <c r="C20" s="7" t="s">
        <v>5</v>
      </c>
      <c r="D20" s="7" t="s">
        <v>4</v>
      </c>
    </row>
    <row r="21" spans="1:4" s="1" customFormat="1" x14ac:dyDescent="0.25">
      <c r="A21" s="6" t="s">
        <v>28</v>
      </c>
      <c r="B21" s="6">
        <v>49.772602739726025</v>
      </c>
      <c r="C21" s="3" t="s">
        <v>2</v>
      </c>
      <c r="D21" s="3" t="s">
        <v>1</v>
      </c>
    </row>
    <row r="22" spans="1:4" s="1" customFormat="1" x14ac:dyDescent="0.25">
      <c r="A22" s="6" t="s">
        <v>29</v>
      </c>
      <c r="B22" s="6">
        <v>44.463013698630135</v>
      </c>
      <c r="C22" s="3" t="s">
        <v>2</v>
      </c>
      <c r="D22" s="4" t="s">
        <v>3</v>
      </c>
    </row>
    <row r="23" spans="1:4" s="1" customFormat="1" x14ac:dyDescent="0.25">
      <c r="A23" s="6" t="s">
        <v>30</v>
      </c>
      <c r="B23" s="6">
        <v>61.663013698630138</v>
      </c>
      <c r="C23" s="3" t="s">
        <v>2</v>
      </c>
      <c r="D23" s="4" t="s">
        <v>3</v>
      </c>
    </row>
    <row r="24" spans="1:4" s="1" customFormat="1" x14ac:dyDescent="0.25">
      <c r="A24" s="6" t="s">
        <v>31</v>
      </c>
      <c r="B24" s="6">
        <f>2018-1942</f>
        <v>76</v>
      </c>
      <c r="C24" s="7" t="s">
        <v>2</v>
      </c>
      <c r="D24" s="7" t="s">
        <v>3</v>
      </c>
    </row>
    <row r="25" spans="1:4" s="1" customFormat="1" x14ac:dyDescent="0.25">
      <c r="A25" s="6" t="s">
        <v>32</v>
      </c>
      <c r="B25" s="6">
        <v>63.734246575342468</v>
      </c>
      <c r="C25" s="3" t="s">
        <v>2</v>
      </c>
      <c r="D25" s="3" t="s">
        <v>1</v>
      </c>
    </row>
    <row r="26" spans="1:4" s="1" customFormat="1" x14ac:dyDescent="0.25">
      <c r="A26" s="6" t="s">
        <v>33</v>
      </c>
      <c r="B26" s="6">
        <f>2018-1973</f>
        <v>45</v>
      </c>
      <c r="C26" s="3" t="s">
        <v>2</v>
      </c>
      <c r="D26" s="4" t="s">
        <v>3</v>
      </c>
    </row>
    <row r="27" spans="1:4" s="1" customFormat="1" x14ac:dyDescent="0.25">
      <c r="A27" s="6" t="s">
        <v>34</v>
      </c>
      <c r="B27" s="6">
        <f>2018-1990</f>
        <v>28</v>
      </c>
      <c r="C27" s="7" t="s">
        <v>35</v>
      </c>
      <c r="D27" s="7" t="s">
        <v>1</v>
      </c>
    </row>
    <row r="28" spans="1:4" s="1" customFormat="1" x14ac:dyDescent="0.25">
      <c r="A28" s="6" t="s">
        <v>36</v>
      </c>
      <c r="B28" s="6">
        <f>2018-1949</f>
        <v>69</v>
      </c>
      <c r="C28" s="7" t="s">
        <v>2</v>
      </c>
      <c r="D28" s="7" t="s">
        <v>3</v>
      </c>
    </row>
    <row r="30" spans="1:4" x14ac:dyDescent="0.25">
      <c r="B30" s="9"/>
    </row>
    <row r="31" spans="1:4" x14ac:dyDescent="0.25">
      <c r="B31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4363f-9380-4a08-91e6-1ad17e08f3d7">
      <Terms xmlns="http://schemas.microsoft.com/office/infopath/2007/PartnerControls"/>
    </lcf76f155ced4ddcb4097134ff3c332f>
    <TaxCatchAll xmlns="53d0017c-afc0-476d-af8b-981daa944d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79AADB6544314BB38A912641535788" ma:contentTypeVersion="16" ma:contentTypeDescription="Create a new document." ma:contentTypeScope="" ma:versionID="d11bfdd0c7992b67b491b52e5026c765">
  <xsd:schema xmlns:xsd="http://www.w3.org/2001/XMLSchema" xmlns:xs="http://www.w3.org/2001/XMLSchema" xmlns:p="http://schemas.microsoft.com/office/2006/metadata/properties" xmlns:ns2="af24363f-9380-4a08-91e6-1ad17e08f3d7" xmlns:ns3="53d0017c-afc0-476d-af8b-981daa944db8" targetNamespace="http://schemas.microsoft.com/office/2006/metadata/properties" ma:root="true" ma:fieldsID="487f11b4e322b3b45319e219a1e732a2" ns2:_="" ns3:_="">
    <xsd:import namespace="af24363f-9380-4a08-91e6-1ad17e08f3d7"/>
    <xsd:import namespace="53d0017c-afc0-476d-af8b-981daa944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4363f-9380-4a08-91e6-1ad17e08f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017c-afc0-476d-af8b-981daa944d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c4c933-f888-40c7-bfd3-63d27df85d54}" ma:internalName="TaxCatchAll" ma:showField="CatchAllData" ma:web="53d0017c-afc0-476d-af8b-981daa944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7671C-3B14-4452-A1AE-CA6FCCCD20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B43BD0-25C2-4D80-81DD-4EEF2DE6079B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3d0017c-afc0-476d-af8b-981daa944db8"/>
    <ds:schemaRef ds:uri="af24363f-9380-4a08-91e6-1ad17e08f3d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6E02BD-D5AE-489B-B0D9-96D32576F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4363f-9380-4a08-91e6-1ad17e08f3d7"/>
    <ds:schemaRef ds:uri="53d0017c-afc0-476d-af8b-981daa944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Pia Ostergaard</dc:creator>
  <cp:keywords/>
  <dc:description/>
  <cp:lastModifiedBy>Pia Ostergaard</cp:lastModifiedBy>
  <cp:revision/>
  <dcterms:created xsi:type="dcterms:W3CDTF">2020-12-14T13:35:47Z</dcterms:created>
  <dcterms:modified xsi:type="dcterms:W3CDTF">2022-09-12T16:23:43Z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0x0101008379AADB6544314BB38A912641535788</vt:lpwstr>
  </property>
  <property fmtid="{D5CDD505-2E9C-101B-9397-08002B2CF9AE}" pid="3" name="MediaServiceImageTags">
    <vt:lpwstr/>
  </property>
</Properties>
</file>